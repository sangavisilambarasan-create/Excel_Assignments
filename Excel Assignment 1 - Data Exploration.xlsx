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407109-7B65-4577-A8DE-D7F5FA39819D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Excel_Assignment" sheetId="4" r:id="rId1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L7" i="4" l="1"/>
  <c r="L14" i="4"/>
  <c r="L13" i="4" l="1"/>
  <c r="L12" i="4"/>
  <c r="L11" i="4"/>
  <c r="L10" i="4"/>
  <c r="L9" i="4"/>
  <c r="L8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2" i="4"/>
  <c r="G5" i="4"/>
  <c r="G3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4" i="4"/>
  <c r="G6" i="4"/>
  <c r="G7" i="4"/>
  <c r="G8" i="4"/>
  <c r="G9" i="4"/>
  <c r="G10" i="4"/>
  <c r="G2" i="4"/>
  <c r="D1048576" i="4"/>
</calcChain>
</file>

<file path=xl/sharedStrings.xml><?xml version="1.0" encoding="utf-8"?>
<sst xmlns="http://schemas.openxmlformats.org/spreadsheetml/2006/main" count="157" uniqueCount="108">
  <si>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</si>
  <si>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</si>
  <si>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</si>
  <si>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</si>
  <si>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</si>
  <si>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</si>
  <si>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</si>
  <si>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</si>
  <si>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</si>
  <si>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</si>
  <si>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</si>
  <si>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</si>
  <si>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</si>
  <si>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</si>
  <si>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</si>
  <si>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</si>
  <si>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</si>
  <si>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</si>
  <si>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</si>
  <si>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</si>
  <si>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</si>
  <si>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</si>
  <si>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</si>
  <si>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</si>
  <si>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</si>
  <si>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</si>
  <si>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</si>
  <si>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</si>
  <si>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</si>
  <si>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</si>
  <si>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</si>
  <si>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</si>
  <si>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</si>
  <si>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</si>
  <si>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</si>
  <si>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</si>
  <si>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</si>
  <si>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</si>
  <si>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</si>
  <si>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</si>
  <si>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</si>
  <si>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</si>
  <si>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</si>
  <si>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</si>
  <si>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</si>
  <si>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</si>
  <si>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</si>
  <si>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</si>
  <si>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</si>
  <si>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</si>
  <si>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</si>
  <si>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</si>
  <si>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</si>
  <si>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</si>
  <si>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</si>
  <si>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</si>
  <si>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</si>
  <si>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</si>
  <si>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</si>
  <si>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</si>
  <si>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</si>
  <si>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</si>
  <si>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</si>
  <si>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</si>
  <si>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</si>
  <si>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</si>
  <si>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</si>
  <si>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</si>
  <si>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</si>
  <si>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</si>
  <si>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</si>
  <si>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</si>
  <si>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</si>
  <si>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</si>
  <si>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</si>
  <si>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</si>
  <si>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</si>
  <si>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</si>
  <si>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</si>
  <si>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</si>
  <si>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</si>
  <si>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</si>
  <si>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</si>
  <si>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</si>
  <si>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</si>
  <si>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</si>
  <si>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</si>
  <si>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</si>
  <si>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</si>
  <si>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</si>
  <si>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</si>
  <si>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</si>
  <si>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</si>
  <si>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</si>
  <si>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</si>
  <si>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</si>
  <si>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</si>
  <si>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1)SUM</t>
  </si>
  <si>
    <t>Funtions</t>
  </si>
  <si>
    <t>Summary</t>
  </si>
  <si>
    <t>2)COUNT</t>
  </si>
  <si>
    <t>3)AVERAGE</t>
  </si>
  <si>
    <t>4)MIN</t>
  </si>
  <si>
    <t>5)MAX</t>
  </si>
  <si>
    <t>6)IF Price &gt;=500, - High Price,Price&lt;500 -Low price</t>
  </si>
  <si>
    <t>7)SUMIF</t>
  </si>
  <si>
    <t>8)COUNTIF</t>
  </si>
  <si>
    <t>"I used SUM,COUNT,AVERAGE,MIN,MAX,IF,SUMIF,COUNTIF and text funtions like LEFT,RIGHT,MID to analyze the dataset."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</si>
</sst>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4" tint="-0.499984740745262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4" tint="-0.499984740745262"/>
      <name val="Arial"/>
      <family val="2"/>
      <scheme val="minor"/>
    </font>
    <font>
      <b/>
      <sz val="14"/>
      <color theme="4" tint="-0.499984740745262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79998168889431442"/>
        <bgColor rgb="FF4DD0E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Font="1" applyAlignment="1">
      <alignment horizontal="right"/>
    </xf>
    <xf numFmtId="0" fontId="5" fillId="5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applyFont="1" applyBorder="1" applyAlignment="1"/>
    <xf numFmtId="0" fontId="6" fillId="5" borderId="1" xfId="0" applyFont="1" applyFill="1" applyBorder="1" applyAlignment="1"/>
    <xf numFmtId="0" fontId="4" fillId="0" borderId="1" xfId="0" applyFont="1" applyBorder="1" applyAlignment="1"/>
    <xf numFmtId="0" fontId="7" fillId="0" borderId="1" xfId="0" applyFont="1" applyBorder="1" applyAlignment="1"/>
    <xf numFmtId="0" fontId="4" fillId="6" borderId="1" xfId="0" applyFont="1" applyFill="1" applyBorder="1" applyAlignment="1"/>
    <xf numFmtId="0" fontId="8" fillId="6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6A80-E297-4D50-95FE-9AE86283488F}">
  <sheetPr>
    <outlinePr summaryBelow="0" summaryRight="0"/>
  </sheetPr>
  <dimension ref="A1:M1048576"/>
  <sheetViews>
    <sheetView tabSelected="1" topLeftCell="G1" workbookViewId="0">
      <selection activeCell="L17" sqref="L1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17.85546875" customWidth="1"/>
    <col min="8" max="8" width="13.140625" style="6" customWidth="1"/>
    <col min="9" max="9" width="14.28515625" style="9" customWidth="1"/>
    <col min="10" max="10" width="15.140625" customWidth="1"/>
    <col min="11" max="11" width="58.7109375" customWidth="1"/>
    <col min="12" max="12" width="38.7109375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93</v>
      </c>
      <c r="H1" s="5" t="s">
        <v>94</v>
      </c>
      <c r="I1" s="8" t="s">
        <v>95</v>
      </c>
      <c r="J1" s="7" t="s">
        <v>96</v>
      </c>
    </row>
    <row r="2" spans="1:12" ht="15.75" customHeight="1" x14ac:dyDescent="0.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 t="str">
        <f>IF(D2&gt;=500,"High Price","Low Price")</f>
        <v>High Price</v>
      </c>
      <c r="H2" s="6" t="str">
        <f>LEFT(A2,2)</f>
        <v>28</v>
      </c>
      <c r="I2" s="9" t="str">
        <f>RIGHT(A2,2)</f>
        <v>US</v>
      </c>
      <c r="J2" t="str">
        <f>MID(A2,4,3)</f>
        <v>JAN</v>
      </c>
    </row>
    <row r="3" spans="1:12" ht="15.75" customHeight="1" x14ac:dyDescent="0.2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2" t="str">
        <f>IF(D3&gt;=500,"High Price","Low Price")</f>
        <v>Low Price</v>
      </c>
      <c r="H3" s="6" t="str">
        <f t="shared" ref="H3:H36" si="0">LEFT(A3,2)</f>
        <v>15</v>
      </c>
      <c r="I3" s="9" t="str">
        <f t="shared" ref="I3:I36" si="1">RIGHT(A3,2)</f>
        <v>US</v>
      </c>
      <c r="J3" t="str">
        <f t="shared" ref="J3:J36" si="2">MID(A3,4,3)</f>
        <v>FEB</v>
      </c>
    </row>
    <row r="4" spans="1:12" ht="15.75" customHeight="1" x14ac:dyDescent="0.2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 t="shared" ref="G4:G35" si="3">IF(D4&gt;=500,"High Price","Low Price")</f>
        <v>Low Price</v>
      </c>
      <c r="H4" s="6" t="str">
        <f t="shared" si="0"/>
        <v>03</v>
      </c>
      <c r="I4" s="9" t="str">
        <f t="shared" si="1"/>
        <v>US</v>
      </c>
      <c r="J4" t="str">
        <f t="shared" si="2"/>
        <v>MAR</v>
      </c>
    </row>
    <row r="5" spans="1:12" ht="15.75" customHeight="1" x14ac:dyDescent="0.2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" t="str">
        <f>IF(D5&gt;=500,"High Price","Low Price")</f>
        <v>High Price</v>
      </c>
      <c r="H5" s="6" t="str">
        <f t="shared" si="0"/>
        <v>11</v>
      </c>
      <c r="I5" s="9" t="str">
        <f t="shared" si="1"/>
        <v>US</v>
      </c>
      <c r="J5" t="str">
        <f t="shared" si="2"/>
        <v>APR</v>
      </c>
    </row>
    <row r="6" spans="1:12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 t="shared" si="3"/>
        <v>Low Price</v>
      </c>
      <c r="H6" s="6" t="str">
        <f t="shared" si="0"/>
        <v>22</v>
      </c>
      <c r="I6" s="9" t="str">
        <f t="shared" si="1"/>
        <v>US</v>
      </c>
      <c r="J6" t="str">
        <f t="shared" si="2"/>
        <v>MAY</v>
      </c>
      <c r="K6" s="11" t="s">
        <v>98</v>
      </c>
      <c r="L6" s="11" t="s">
        <v>99</v>
      </c>
    </row>
    <row r="7" spans="1:12" ht="15.75" customHeight="1" x14ac:dyDescent="0.2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" t="str">
        <f t="shared" si="3"/>
        <v>Low Price</v>
      </c>
      <c r="H7" s="6" t="str">
        <f t="shared" si="0"/>
        <v>07</v>
      </c>
      <c r="I7" s="9" t="str">
        <f t="shared" si="1"/>
        <v>UK</v>
      </c>
      <c r="J7" t="str">
        <f t="shared" si="2"/>
        <v>JUN</v>
      </c>
      <c r="K7" s="14" t="s">
        <v>97</v>
      </c>
      <c r="L7" s="15">
        <f>SUM(D2:D35)</f>
        <v>10100</v>
      </c>
    </row>
    <row r="8" spans="1:12" ht="15.75" customHeight="1" x14ac:dyDescent="0.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 t="shared" si="3"/>
        <v>Low Price</v>
      </c>
      <c r="H8" s="6" t="str">
        <f t="shared" si="0"/>
        <v>19</v>
      </c>
      <c r="I8" s="9" t="str">
        <f t="shared" si="1"/>
        <v>UK</v>
      </c>
      <c r="J8" t="str">
        <f t="shared" si="2"/>
        <v>JUL</v>
      </c>
      <c r="K8" s="14" t="s">
        <v>100</v>
      </c>
      <c r="L8" s="15">
        <f>COUNT(D2:D35)</f>
        <v>34</v>
      </c>
    </row>
    <row r="9" spans="1:12" ht="15.75" customHeight="1" x14ac:dyDescent="0.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" t="str">
        <f t="shared" si="3"/>
        <v>Low Price</v>
      </c>
      <c r="H9" s="6" t="str">
        <f t="shared" si="0"/>
        <v>23</v>
      </c>
      <c r="I9" s="9" t="str">
        <f t="shared" si="1"/>
        <v>UK</v>
      </c>
      <c r="J9" t="str">
        <f t="shared" si="2"/>
        <v>AUG</v>
      </c>
      <c r="K9" s="14" t="s">
        <v>101</v>
      </c>
      <c r="L9" s="15">
        <f>AVERAGE(D2:D35)</f>
        <v>297.05882352941177</v>
      </c>
    </row>
    <row r="10" spans="1:12" ht="15.75" customHeight="1" x14ac:dyDescent="0.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 t="shared" si="3"/>
        <v>High Price</v>
      </c>
      <c r="H10" s="6" t="str">
        <f t="shared" si="0"/>
        <v>05</v>
      </c>
      <c r="I10" s="9" t="str">
        <f t="shared" si="1"/>
        <v>UK</v>
      </c>
      <c r="J10" t="str">
        <f t="shared" si="2"/>
        <v>SEP</v>
      </c>
      <c r="K10" s="14" t="s">
        <v>102</v>
      </c>
      <c r="L10" s="15">
        <f>MIN(D2:D35)</f>
        <v>30</v>
      </c>
    </row>
    <row r="11" spans="1:12" ht="15.75" customHeight="1" x14ac:dyDescent="0.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 t="str">
        <f t="shared" si="3"/>
        <v>Low Price</v>
      </c>
      <c r="H11" s="6" t="str">
        <f t="shared" si="0"/>
        <v>14</v>
      </c>
      <c r="I11" s="9" t="str">
        <f t="shared" si="1"/>
        <v>UK</v>
      </c>
      <c r="J11" t="str">
        <f t="shared" si="2"/>
        <v>OCT</v>
      </c>
      <c r="K11" s="14" t="s">
        <v>103</v>
      </c>
      <c r="L11" s="15">
        <f>MAX(D2:D35)</f>
        <v>1000</v>
      </c>
    </row>
    <row r="12" spans="1:12" ht="15.75" customHeight="1" x14ac:dyDescent="0.2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 t="shared" si="3"/>
        <v>High Price</v>
      </c>
      <c r="H12" s="6" t="str">
        <f t="shared" si="0"/>
        <v>17</v>
      </c>
      <c r="I12" s="9" t="str">
        <f t="shared" si="1"/>
        <v>IN</v>
      </c>
      <c r="J12" t="str">
        <f t="shared" si="2"/>
        <v>JUN</v>
      </c>
      <c r="K12" s="14" t="s">
        <v>104</v>
      </c>
      <c r="L12" s="15" t="str">
        <f>IF(D2&gt;=500,"High Price","Low Price")</f>
        <v>High Price</v>
      </c>
    </row>
    <row r="13" spans="1:12" ht="15.75" customHeight="1" x14ac:dyDescent="0.2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 t="str">
        <f t="shared" si="3"/>
        <v>Low Price</v>
      </c>
      <c r="H13" s="6" t="str">
        <f t="shared" si="0"/>
        <v>25</v>
      </c>
      <c r="I13" s="9" t="str">
        <f t="shared" si="1"/>
        <v>AU</v>
      </c>
      <c r="J13" t="str">
        <f t="shared" si="2"/>
        <v>NOV</v>
      </c>
      <c r="K13" s="14" t="s">
        <v>105</v>
      </c>
      <c r="L13" s="15">
        <f>SUMIF(F2:F35,"Electronics",D2:D35)</f>
        <v>8050</v>
      </c>
    </row>
    <row r="14" spans="1:12" ht="15.75" customHeight="1" x14ac:dyDescent="0.2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 t="shared" si="3"/>
        <v>Low Price</v>
      </c>
      <c r="H14" s="6" t="str">
        <f t="shared" si="0"/>
        <v>08</v>
      </c>
      <c r="I14" s="9" t="str">
        <f t="shared" si="1"/>
        <v>DE</v>
      </c>
      <c r="J14" t="str">
        <f t="shared" si="2"/>
        <v>DEC</v>
      </c>
      <c r="K14" s="14" t="s">
        <v>106</v>
      </c>
      <c r="L14" s="15">
        <f>COUNTIF(D2:D35,"&lt;100")</f>
        <v>11</v>
      </c>
    </row>
    <row r="15" spans="1:12" ht="15.75" customHeight="1" x14ac:dyDescent="0.2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" t="str">
        <f t="shared" si="3"/>
        <v>Low Price</v>
      </c>
      <c r="H15" s="6" t="str">
        <f t="shared" si="0"/>
        <v>18</v>
      </c>
      <c r="I15" s="9" t="str">
        <f t="shared" si="1"/>
        <v>CA</v>
      </c>
      <c r="J15" t="str">
        <f t="shared" si="2"/>
        <v>FEB</v>
      </c>
    </row>
    <row r="16" spans="1:12" ht="15.75" customHeight="1" x14ac:dyDescent="0.2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 t="shared" si="3"/>
        <v>Low Price</v>
      </c>
      <c r="H16" s="6" t="str">
        <f t="shared" si="0"/>
        <v>16</v>
      </c>
      <c r="I16" s="9" t="str">
        <f t="shared" si="1"/>
        <v>ES</v>
      </c>
      <c r="J16" t="str">
        <f t="shared" si="2"/>
        <v>APR</v>
      </c>
    </row>
    <row r="17" spans="1:13" ht="15.75" customHeight="1" x14ac:dyDescent="0.2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 t="str">
        <f t="shared" si="3"/>
        <v>Low Price</v>
      </c>
      <c r="H17" s="6" t="str">
        <f t="shared" si="0"/>
        <v>21</v>
      </c>
      <c r="I17" s="9" t="str">
        <f t="shared" si="1"/>
        <v>CA</v>
      </c>
      <c r="J17" t="str">
        <f t="shared" si="2"/>
        <v>AUG</v>
      </c>
    </row>
    <row r="18" spans="1:13" ht="15.75" customHeight="1" x14ac:dyDescent="0.2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 t="shared" si="3"/>
        <v>Low Price</v>
      </c>
      <c r="H18" s="6" t="str">
        <f t="shared" si="0"/>
        <v>20</v>
      </c>
      <c r="I18" s="9" t="str">
        <f t="shared" si="1"/>
        <v>CN</v>
      </c>
      <c r="J18" t="str">
        <f t="shared" si="2"/>
        <v>AUG</v>
      </c>
    </row>
    <row r="19" spans="1:13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 t="str">
        <f t="shared" si="3"/>
        <v>High Price</v>
      </c>
      <c r="H19" s="6" t="str">
        <f t="shared" si="0"/>
        <v>27</v>
      </c>
      <c r="I19" s="9" t="str">
        <f t="shared" si="1"/>
        <v>IT</v>
      </c>
      <c r="J19" t="str">
        <f t="shared" si="2"/>
        <v>JAN</v>
      </c>
      <c r="K19" s="13" t="s">
        <v>107</v>
      </c>
      <c r="L19" s="12"/>
      <c r="M19" s="10"/>
    </row>
    <row r="20" spans="1:13" ht="15.75" customHeight="1" x14ac:dyDescent="0.2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 t="shared" si="3"/>
        <v>Low Price</v>
      </c>
      <c r="H20" s="6" t="str">
        <f t="shared" si="0"/>
        <v>01</v>
      </c>
      <c r="I20" s="9" t="str">
        <f t="shared" si="1"/>
        <v>UK</v>
      </c>
      <c r="J20" t="str">
        <f t="shared" si="2"/>
        <v>MAR</v>
      </c>
    </row>
    <row r="21" spans="1:13" ht="15.75" customHeight="1" x14ac:dyDescent="0.2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 t="str">
        <f t="shared" si="3"/>
        <v>Low Price</v>
      </c>
      <c r="H21" s="6" t="str">
        <f t="shared" si="0"/>
        <v>14</v>
      </c>
      <c r="I21" s="9" t="str">
        <f t="shared" si="1"/>
        <v>US</v>
      </c>
      <c r="J21" t="str">
        <f t="shared" si="2"/>
        <v>AUG</v>
      </c>
    </row>
    <row r="22" spans="1:13" ht="15.75" customHeight="1" x14ac:dyDescent="0.2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f t="shared" si="3"/>
        <v>High Price</v>
      </c>
      <c r="H22" s="6" t="str">
        <f t="shared" si="0"/>
        <v>14</v>
      </c>
      <c r="I22" s="9" t="str">
        <f t="shared" si="1"/>
        <v>RU</v>
      </c>
      <c r="J22" t="str">
        <f t="shared" si="2"/>
        <v>MAY</v>
      </c>
    </row>
    <row r="23" spans="1:13" ht="15.75" customHeight="1" x14ac:dyDescent="0.2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" t="str">
        <f t="shared" si="3"/>
        <v>Low Price</v>
      </c>
      <c r="H23" s="6" t="str">
        <f t="shared" si="0"/>
        <v>09</v>
      </c>
      <c r="I23" s="9" t="str">
        <f t="shared" si="1"/>
        <v>CA</v>
      </c>
      <c r="J23" t="str">
        <f t="shared" si="2"/>
        <v>JAN</v>
      </c>
    </row>
    <row r="24" spans="1:13" ht="15.75" customHeight="1" x14ac:dyDescent="0.2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 t="shared" si="3"/>
        <v>Low Price</v>
      </c>
      <c r="H24" s="6" t="str">
        <f t="shared" si="0"/>
        <v>19</v>
      </c>
      <c r="I24" s="9" t="str">
        <f t="shared" si="1"/>
        <v>BR</v>
      </c>
      <c r="J24" t="str">
        <f t="shared" si="2"/>
        <v>JUL</v>
      </c>
    </row>
    <row r="25" spans="1:13" ht="15.75" customHeight="1" x14ac:dyDescent="0.2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2" t="str">
        <f t="shared" si="3"/>
        <v>Low Price</v>
      </c>
      <c r="H25" s="6" t="str">
        <f t="shared" si="0"/>
        <v>21</v>
      </c>
      <c r="I25" s="9" t="str">
        <f t="shared" si="1"/>
        <v>CA</v>
      </c>
      <c r="J25" t="str">
        <f t="shared" si="2"/>
        <v>AUG</v>
      </c>
    </row>
    <row r="26" spans="1:13" ht="15.75" customHeight="1" x14ac:dyDescent="0.2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 t="shared" si="3"/>
        <v>High Price</v>
      </c>
      <c r="H26" s="6" t="str">
        <f t="shared" si="0"/>
        <v>29</v>
      </c>
      <c r="I26" s="9" t="str">
        <f t="shared" si="1"/>
        <v>CA</v>
      </c>
      <c r="J26" t="str">
        <f t="shared" si="2"/>
        <v>SEP</v>
      </c>
    </row>
    <row r="27" spans="1:13" ht="15.75" customHeight="1" x14ac:dyDescent="0.2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" t="str">
        <f t="shared" si="3"/>
        <v>Low Price</v>
      </c>
      <c r="H27" s="6" t="str">
        <f t="shared" si="0"/>
        <v>03</v>
      </c>
      <c r="I27" s="9" t="str">
        <f t="shared" si="1"/>
        <v>CA</v>
      </c>
      <c r="J27" t="str">
        <f t="shared" si="2"/>
        <v>JUN</v>
      </c>
    </row>
    <row r="28" spans="1:13" ht="15.75" customHeight="1" x14ac:dyDescent="0.2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 t="shared" si="3"/>
        <v>Low Price</v>
      </c>
      <c r="H28" s="6" t="str">
        <f t="shared" si="0"/>
        <v>11</v>
      </c>
      <c r="I28" s="9" t="str">
        <f t="shared" si="1"/>
        <v>CA</v>
      </c>
      <c r="J28" t="str">
        <f t="shared" si="2"/>
        <v>JUL</v>
      </c>
    </row>
    <row r="29" spans="1:13" ht="15.75" customHeight="1" x14ac:dyDescent="0.2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2" t="str">
        <f t="shared" si="3"/>
        <v>Low Price</v>
      </c>
      <c r="H29" s="6" t="str">
        <f t="shared" si="0"/>
        <v>16</v>
      </c>
      <c r="I29" s="9" t="str">
        <f t="shared" si="1"/>
        <v>ES</v>
      </c>
      <c r="J29" t="str">
        <f t="shared" si="2"/>
        <v>APR</v>
      </c>
    </row>
    <row r="30" spans="1:13" ht="15.75" customHeight="1" x14ac:dyDescent="0.2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 t="shared" si="3"/>
        <v>Low Price</v>
      </c>
      <c r="H30" s="6" t="str">
        <f t="shared" si="0"/>
        <v>07</v>
      </c>
      <c r="I30" s="9" t="str">
        <f t="shared" si="1"/>
        <v>CA</v>
      </c>
      <c r="J30" t="str">
        <f t="shared" si="2"/>
        <v>MAR</v>
      </c>
    </row>
    <row r="31" spans="1:13" ht="15.75" customHeight="1" x14ac:dyDescent="0.2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" t="str">
        <f t="shared" si="3"/>
        <v>Low Price</v>
      </c>
      <c r="H31" s="6" t="str">
        <f t="shared" si="0"/>
        <v>13</v>
      </c>
      <c r="I31" s="9" t="str">
        <f t="shared" si="1"/>
        <v>CA</v>
      </c>
      <c r="J31" t="str">
        <f t="shared" si="2"/>
        <v>APR</v>
      </c>
    </row>
    <row r="32" spans="1:13" ht="15.75" customHeight="1" x14ac:dyDescent="0.2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 t="shared" si="3"/>
        <v>Low Price</v>
      </c>
      <c r="H32" s="6" t="str">
        <f t="shared" si="0"/>
        <v>24</v>
      </c>
      <c r="I32" s="9" t="str">
        <f t="shared" si="1"/>
        <v>CA</v>
      </c>
      <c r="J32" t="str">
        <f t="shared" si="2"/>
        <v>MAY</v>
      </c>
    </row>
    <row r="33" spans="1:10" ht="15.75" customHeight="1" x14ac:dyDescent="0.2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" t="str">
        <f t="shared" si="3"/>
        <v>Low Price</v>
      </c>
      <c r="H33" s="6" t="str">
        <f t="shared" si="0"/>
        <v>02</v>
      </c>
      <c r="I33" s="9" t="str">
        <f t="shared" si="1"/>
        <v>CA</v>
      </c>
      <c r="J33" t="str">
        <f t="shared" si="2"/>
        <v>DEC</v>
      </c>
    </row>
    <row r="34" spans="1:10" ht="15.75" customHeight="1" x14ac:dyDescent="0.2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 t="shared" si="3"/>
        <v>High Price</v>
      </c>
      <c r="H34" s="6" t="str">
        <f t="shared" si="0"/>
        <v>17</v>
      </c>
      <c r="I34" s="9" t="str">
        <f t="shared" si="1"/>
        <v>IN</v>
      </c>
      <c r="J34" t="str">
        <f t="shared" si="2"/>
        <v>JUN</v>
      </c>
    </row>
    <row r="35" spans="1:10" ht="15.75" customHeight="1" x14ac:dyDescent="0.2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" t="str">
        <f t="shared" si="3"/>
        <v>Low Price</v>
      </c>
      <c r="H35" s="6" t="str">
        <f t="shared" si="0"/>
        <v>09</v>
      </c>
      <c r="I35" s="9" t="str">
        <f t="shared" si="1"/>
        <v>FR</v>
      </c>
      <c r="J35" t="str">
        <f t="shared" si="2"/>
        <v>JUL</v>
      </c>
    </row>
    <row r="36" spans="1:10" ht="15.75" customHeight="1" x14ac:dyDescent="0.2">
      <c r="G36" s="2"/>
      <c r="H36" s="6" t="str">
        <f t="shared" si="0"/>
        <v/>
      </c>
      <c r="I36" s="9" t="str">
        <f t="shared" si="1"/>
        <v/>
      </c>
      <c r="J36" t="str">
        <f t="shared" si="2"/>
        <v/>
      </c>
    </row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48576" spans="4:4" ht="15" customHeight="1" x14ac:dyDescent="0.2">
      <c r="D1048576">
        <f>SUM(D2:D1048575)</f>
        <v>10100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2025-12-24T20:56:25Z</dcterms:created>
  <dcterms:modified xsi:type="dcterms:W3CDTF">2025-12-25T01:17:07Z</dcterms:modified>
</cp:coreProperties>
</file>