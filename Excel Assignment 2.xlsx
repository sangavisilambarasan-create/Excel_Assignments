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8C08A0-BD86-4399-B8D5-E13DF86F6181}" xr6:coauthVersionLast="36" xr6:coauthVersionMax="36" xr10:uidLastSave="{00000000-0000-0000-0000-000000000000}"/>
  <bookViews>
    <workbookView xWindow="0" yWindow="0" windowWidth="20490" windowHeight="8940" activeTab="1" xr2:uid="{00000000-000D-0000-FFFF-FFFF00000000}"/>
  </bookViews>
  <sheets>
    <sheet name="Instructions" sheetId="1" r:id="rId1"/>
    <sheet name="Dataset" sheetId="2" r:id="rId2"/>
    <sheet name="Assignment 2" sheetId="3" r:id="rId3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10" i="2" l="1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F4" i="2"/>
  <c r="F5" i="2"/>
  <c r="F6" i="2"/>
  <c r="F7" i="2"/>
  <c r="F8" i="2"/>
  <c r="F9" i="2"/>
  <c r="F11" i="2"/>
  <c r="F12" i="2"/>
  <c r="F13" i="2"/>
  <c r="F14" i="2"/>
  <c r="F15" i="2"/>
  <c r="F16" i="2"/>
  <c r="F17" i="2"/>
  <c r="F18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B25" i="2"/>
  <c r="B26" i="2"/>
  <c r="B27" i="2"/>
  <c r="B28" i="2"/>
  <c r="B29" i="2"/>
  <c r="B30" i="2"/>
  <c r="B31" i="2"/>
  <c r="B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" i="2"/>
</calcChain>
</file>

<file path=xl/sharedStrings.xml><?xml version="1.0" encoding="utf-8"?>
<sst xmlns="http://schemas.openxmlformats.org/spreadsheetml/2006/main" count="172" uniqueCount="139">
  <si>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</si>
  <si>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</si>
  <si>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</si>
  <si>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</si>
  <si>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</si>
  <si>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</si>
  <si>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</si>
  <si>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</si>
  <si>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</si>
  <si>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</si>
  <si>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</si>
  <si>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</si>
  <si>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</si>
  <si>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</si>
  <si>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</si>
  <si>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</si>
  <si>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</si>
  <si>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</si>
  <si>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</si>
  <si>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</si>
  <si>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</si>
  <si>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</si>
  <si>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</si>
  <si>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</si>
  <si>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</si>
  <si>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</si>
  <si>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</si>
  <si>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</si>
  <si>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</si>
  <si>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</si>
  <si>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</si>
  <si>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</si>
  <si>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</si>
  <si>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</si>
  <si>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</si>
  <si>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</si>
  <si>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</si>
  <si>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</si>
  <si>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</si>
  <si>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</si>
  <si>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</si>
  <si>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</si>
  <si>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</si>
  <si>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</si>
  <si>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</si>
  <si>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</si>
  <si>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</si>
  <si>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</si>
  <si>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</si>
  <si>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</si>
  <si>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</si>
  <si>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</si>
  <si>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</si>
  <si>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</si>
  <si>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</si>
  <si>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</si>
  <si>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</si>
  <si>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</si>
  <si>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</si>
  <si>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</si>
  <si>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</si>
  <si>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</si>
  <si>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</si>
  <si>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</si>
  <si>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</si>
  <si>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</si>
  <si>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</si>
  <si>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</si>
  <si>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</si>
  <si>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</si>
  <si>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</si>
  <si>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</si>
  <si>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</si>
  <si>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</si>
  <si>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</si>
  <si>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</si>
  <si>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</si>
  <si>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</si>
  <si>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</si>
  <si>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</si>
  <si>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</si>
  <si>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</si>
  <si>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</si>
  <si>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</si>
  <si>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</si>
  <si>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</si>
  <si>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</si>
  <si>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</si>
  <si>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</si>
  <si>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</si>
  <si>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</si>
  <si>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</si>
  <si>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</si>
  <si>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</si>
  <si>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</si>
  <si>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</si>
  <si>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</si>
  <si>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</si>
  <si>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</si>
  <si>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</si>
  <si>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</si>
  <si>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</si>
  <si>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</si>
  <si>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</si>
  <si>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</si>
  <si>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</si>
  <si>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</si>
  <si>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</si>
  <si>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</si>
  <si>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</si>
  <si>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</si>
  <si>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</si>
  <si>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</si>
  <si>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</si>
  <si>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</si>
  <si>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Data</t>
  </si>
  <si>
    <t>Country Code</t>
  </si>
  <si>
    <t>Product Brand</t>
  </si>
  <si>
    <t>Gategory</t>
  </si>
  <si>
    <t>S.NO</t>
  </si>
  <si>
    <t>Performed</t>
  </si>
  <si>
    <t>1)Handling Missing Values</t>
  </si>
  <si>
    <t xml:space="preserve">2)Correcting Inconsistent Data </t>
  </si>
  <si>
    <t xml:space="preserve">1)Inconsistent text formates in the Product name and brand name columns were corrected by removing </t>
  </si>
  <si>
    <t>extra spaces</t>
  </si>
  <si>
    <t xml:space="preserve">2)Used by  PROPER(CONCATENATE) function in Product name column and Brand name column   </t>
  </si>
  <si>
    <t>3)Removing Duplicates</t>
  </si>
  <si>
    <t>1)The Dataset was checked for duplicates rows using all columns.</t>
  </si>
  <si>
    <t>2)Duplicate records were removed using the remove duplicate option.</t>
  </si>
  <si>
    <t>4)Splitting and Merging data</t>
  </si>
  <si>
    <t>1)The product ID column was split into two seperated columns: Manufacturing column and Country Code.</t>
  </si>
  <si>
    <t>2)The Product name column and Brand name column were merged into a single column using by =PROPER(CONCATENATE) Function.</t>
  </si>
  <si>
    <t>1)Formated the "price" column into the currency format</t>
  </si>
  <si>
    <t>2)Formated the "manufacturing column" to display the "DD-MM-YYYY" Format.</t>
  </si>
  <si>
    <t>5)Number Formating</t>
  </si>
  <si>
    <t>1)Applied Data bar or Color scale conditional formating in the "price" column.</t>
  </si>
  <si>
    <t xml:space="preserve"> to highlight cells where  the gategory is "Electronics".</t>
  </si>
  <si>
    <t>6)Conditional Formating</t>
  </si>
  <si>
    <t>1)Missing values in the price column were identified using filters and filled with the 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</si>
</sst>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mm/dd/yy;@"/>
  </numFmts>
  <fonts count="1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7" tint="0.59999389629810485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3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2"/>
      <color theme="5" tint="-0.249977111117893"/>
      <name val="Arial"/>
      <family val="2"/>
      <scheme val="minor"/>
    </font>
    <font>
      <sz val="12"/>
      <color theme="5" tint="-0.249977111117893"/>
      <name val="Arial"/>
      <family val="2"/>
      <scheme val="minor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-0.249977111117893"/>
        <bgColor rgb="FF4DD0E1"/>
      </patternFill>
    </fill>
    <fill>
      <patternFill patternType="solid">
        <fgColor theme="4"/>
        <bgColor rgb="FF4DD0E1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8" fillId="4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164" fontId="5" fillId="0" borderId="1" xfId="0" applyNumberFormat="1" applyFont="1" applyBorder="1"/>
    <xf numFmtId="164" fontId="5" fillId="3" borderId="1" xfId="0" applyNumberFormat="1" applyFont="1" applyFill="1" applyBorder="1"/>
    <xf numFmtId="164" fontId="0" fillId="0" borderId="0" xfId="0" applyNumberFormat="1" applyFont="1" applyAlignment="1"/>
    <xf numFmtId="0" fontId="9" fillId="0" borderId="1" xfId="0" applyFont="1" applyBorder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9" fillId="0" borderId="1" xfId="0" applyFont="1" applyBorder="1"/>
    <xf numFmtId="0" fontId="11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0" fillId="0" borderId="0" xfId="0" applyNumberFormat="1" applyFont="1" applyAlignment="1"/>
    <xf numFmtId="165" fontId="10" fillId="0" borderId="0" xfId="0" applyNumberFormat="1" applyFont="1" applyAlignment="1">
      <alignment horizontal="center"/>
    </xf>
    <xf numFmtId="0" fontId="13" fillId="0" borderId="0" xfId="0" applyFont="1" applyAlignment="1"/>
    <xf numFmtId="0" fontId="14" fillId="0" borderId="0" xfId="0" applyFont="1" applyAlignment="1"/>
    <xf numFmtId="0" fontId="14" fillId="0" borderId="1" xfId="0" applyFont="1" applyBorder="1" applyAlignment="1"/>
    <xf numFmtId="0" fontId="15" fillId="0" borderId="1" xfId="0" applyFont="1" applyBorder="1" applyAlignment="1"/>
    <xf numFmtId="0" fontId="16" fillId="0" borderId="1" xfId="0" applyFont="1" applyBorder="1" applyAlignment="1"/>
    <xf numFmtId="0" fontId="17" fillId="0" borderId="1" xfId="0" applyFont="1" applyBorder="1" applyAlignment="1"/>
    <xf numFmtId="0" fontId="18" fillId="6" borderId="1" xfId="0" applyFont="1" applyFill="1" applyBorder="1" applyAlignment="1"/>
    <xf numFmtId="0" fontId="12" fillId="6" borderId="1" xfId="0" applyFont="1" applyFill="1" applyBorder="1" applyAlignment="1"/>
  </cellXfs>
  <cellStyles count="1">
    <cellStyle name="Normal" xfId="0" builtinId="0"/>
  </cellStyles>
  <dxfs count="3">
    <dxf>
      <font>
        <color theme="7" tint="-0.24994659260841701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rgb="FFFFC7CE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I7" sqref="I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G10" sqref="G10"/>
    </sheetView>
  </sheetViews>
  <sheetFormatPr defaultColWidth="12.5703125" defaultRowHeight="15" customHeight="1" x14ac:dyDescent="0.2"/>
  <cols>
    <col min="1" max="1" width="16" customWidth="1"/>
    <col min="2" max="2" width="20.7109375" style="26" customWidth="1"/>
    <col min="3" max="3" width="20.7109375" style="19" customWidth="1"/>
    <col min="4" max="4" width="19.7109375" customWidth="1"/>
    <col min="5" max="5" width="14.7109375" customWidth="1"/>
    <col min="6" max="6" width="27.140625" style="18" customWidth="1"/>
    <col min="7" max="7" width="15.28515625" style="16" customWidth="1"/>
    <col min="8" max="8" width="16" customWidth="1"/>
    <col min="9" max="9" width="16.42578125" style="19" customWidth="1"/>
  </cols>
  <sheetData>
    <row r="1" spans="1:16" ht="15.75" customHeight="1" x14ac:dyDescent="0.2">
      <c r="A1" s="9" t="s">
        <v>19</v>
      </c>
      <c r="B1" s="23" t="s">
        <v>115</v>
      </c>
      <c r="C1" s="12" t="s">
        <v>116</v>
      </c>
      <c r="D1" s="9" t="s">
        <v>20</v>
      </c>
      <c r="E1" s="9" t="s">
        <v>21</v>
      </c>
      <c r="F1" s="12" t="s">
        <v>117</v>
      </c>
      <c r="G1" s="13" t="s">
        <v>22</v>
      </c>
      <c r="H1" s="9" t="s">
        <v>23</v>
      </c>
      <c r="I1" s="21" t="s">
        <v>118</v>
      </c>
    </row>
    <row r="2" spans="1:16" ht="15.75" customHeight="1" x14ac:dyDescent="0.2">
      <c r="A2" s="10" t="s">
        <v>24</v>
      </c>
      <c r="B2" s="24" t="str">
        <f t="shared" ref="B2:B32" si="0">LEFT(A2,6)</f>
        <v>28-JAN</v>
      </c>
      <c r="C2" s="17" t="str">
        <f t="shared" ref="C2:C32" si="1">RIGHT(A2,2)</f>
        <v>US</v>
      </c>
      <c r="D2" s="10" t="s">
        <v>25</v>
      </c>
      <c r="E2" s="10" t="s">
        <v>26</v>
      </c>
      <c r="F2" s="20" t="str">
        <f>PROPER(CONCATENATE(D2," ",E2))</f>
        <v>Laptop Dell</v>
      </c>
      <c r="G2" s="14">
        <v>1000</v>
      </c>
      <c r="H2" s="10">
        <v>30</v>
      </c>
      <c r="I2" s="17" t="s">
        <v>27</v>
      </c>
    </row>
    <row r="3" spans="1:16" ht="15.75" customHeight="1" x14ac:dyDescent="0.2">
      <c r="A3" s="11" t="s">
        <v>28</v>
      </c>
      <c r="B3" s="24" t="str">
        <f t="shared" si="0"/>
        <v>15-FEB</v>
      </c>
      <c r="C3" s="17" t="str">
        <f t="shared" si="1"/>
        <v>US</v>
      </c>
      <c r="D3" s="11" t="s">
        <v>29</v>
      </c>
      <c r="E3" s="11" t="s">
        <v>30</v>
      </c>
      <c r="F3" s="20" t="str">
        <f t="shared" ref="F3:F32" si="2">PROPER(CONCATENATE(D3," ",E3))</f>
        <v>Sneakers Nike</v>
      </c>
      <c r="G3" s="15">
        <v>80</v>
      </c>
      <c r="H3" s="11">
        <v>15</v>
      </c>
      <c r="I3" s="22" t="s">
        <v>31</v>
      </c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32</v>
      </c>
      <c r="B4" s="24" t="str">
        <f t="shared" si="0"/>
        <v>03-MAR</v>
      </c>
      <c r="C4" s="17" t="str">
        <f t="shared" si="1"/>
        <v>US</v>
      </c>
      <c r="D4" s="10" t="s">
        <v>33</v>
      </c>
      <c r="E4" s="10" t="s">
        <v>34</v>
      </c>
      <c r="F4" s="20" t="str">
        <f t="shared" si="2"/>
        <v>Coffee Maker Keurig</v>
      </c>
      <c r="G4" s="14">
        <v>130</v>
      </c>
      <c r="H4" s="10">
        <v>40</v>
      </c>
      <c r="I4" s="17" t="s">
        <v>35</v>
      </c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36</v>
      </c>
      <c r="B5" s="24" t="str">
        <f t="shared" si="0"/>
        <v>11-APR</v>
      </c>
      <c r="C5" s="17" t="str">
        <f t="shared" si="1"/>
        <v>US</v>
      </c>
      <c r="D5" s="11" t="s">
        <v>37</v>
      </c>
      <c r="E5" s="11" t="s">
        <v>38</v>
      </c>
      <c r="F5" s="20" t="str">
        <f t="shared" si="2"/>
        <v>Smartphone Samsung</v>
      </c>
      <c r="G5" s="15">
        <v>900</v>
      </c>
      <c r="H5" s="11">
        <v>25</v>
      </c>
      <c r="I5" s="22" t="s">
        <v>27</v>
      </c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39</v>
      </c>
      <c r="B6" s="24" t="str">
        <f t="shared" si="0"/>
        <v>22-MAY</v>
      </c>
      <c r="C6" s="17" t="str">
        <f t="shared" si="1"/>
        <v>US</v>
      </c>
      <c r="D6" s="10" t="s">
        <v>40</v>
      </c>
      <c r="E6" s="10" t="s">
        <v>41</v>
      </c>
      <c r="F6" s="20" t="str">
        <f t="shared" si="2"/>
        <v>Backpack North Face</v>
      </c>
      <c r="G6" s="14">
        <v>70</v>
      </c>
      <c r="H6" s="10">
        <v>20</v>
      </c>
      <c r="I6" s="17" t="s">
        <v>27</v>
      </c>
    </row>
    <row r="7" spans="1:16" ht="15.75" customHeight="1" x14ac:dyDescent="0.2">
      <c r="A7" s="11" t="s">
        <v>42</v>
      </c>
      <c r="B7" s="24" t="str">
        <f t="shared" si="0"/>
        <v>07-JUN</v>
      </c>
      <c r="C7" s="17" t="str">
        <f t="shared" si="1"/>
        <v>UK</v>
      </c>
      <c r="D7" s="11" t="s">
        <v>43</v>
      </c>
      <c r="E7" s="11" t="s">
        <v>44</v>
      </c>
      <c r="F7" s="20" t="str">
        <f t="shared" si="2"/>
        <v>Headphones Sony</v>
      </c>
      <c r="G7" s="15">
        <v>281</v>
      </c>
      <c r="H7" s="11">
        <v>45</v>
      </c>
      <c r="I7" s="22" t="s">
        <v>27</v>
      </c>
    </row>
    <row r="8" spans="1:16" ht="15.75" customHeight="1" x14ac:dyDescent="0.2">
      <c r="A8" s="10" t="s">
        <v>46</v>
      </c>
      <c r="B8" s="24" t="str">
        <f t="shared" si="0"/>
        <v>19-JUL</v>
      </c>
      <c r="C8" s="17" t="str">
        <f t="shared" si="1"/>
        <v>UK</v>
      </c>
      <c r="D8" s="10" t="s">
        <v>47</v>
      </c>
      <c r="E8" s="10" t="s">
        <v>48</v>
      </c>
      <c r="F8" s="20" t="str">
        <f t="shared" si="2"/>
        <v>T-Shirt Adidas</v>
      </c>
      <c r="G8" s="14">
        <v>30</v>
      </c>
      <c r="H8" s="10">
        <v>5</v>
      </c>
      <c r="I8" s="17" t="s">
        <v>31</v>
      </c>
    </row>
    <row r="9" spans="1:16" ht="15.75" customHeight="1" x14ac:dyDescent="0.2">
      <c r="A9" s="11" t="s">
        <v>49</v>
      </c>
      <c r="B9" s="24" t="str">
        <f t="shared" si="0"/>
        <v>23-AUG</v>
      </c>
      <c r="C9" s="17" t="str">
        <f t="shared" si="1"/>
        <v>UK</v>
      </c>
      <c r="D9" s="11" t="s">
        <v>50</v>
      </c>
      <c r="E9" s="11" t="s">
        <v>51</v>
      </c>
      <c r="F9" s="20" t="str">
        <f t="shared" si="2"/>
        <v>Blender Ninja</v>
      </c>
      <c r="G9" s="15">
        <v>90</v>
      </c>
      <c r="H9" s="11">
        <v>35</v>
      </c>
      <c r="I9" s="22" t="s">
        <v>35</v>
      </c>
    </row>
    <row r="10" spans="1:16" ht="15.75" customHeight="1" x14ac:dyDescent="0.2">
      <c r="A10" s="10" t="s">
        <v>52</v>
      </c>
      <c r="B10" s="24" t="str">
        <f t="shared" si="0"/>
        <v>05-SEP</v>
      </c>
      <c r="C10" s="17" t="str">
        <f t="shared" si="1"/>
        <v>UK</v>
      </c>
      <c r="D10" s="10" t="s">
        <v>53</v>
      </c>
      <c r="E10" s="10" t="s">
        <v>54</v>
      </c>
      <c r="F10" s="20" t="str">
        <f>PROPER(CONCATENATE(D10," ",E10))</f>
        <v>Tablet Apple</v>
      </c>
      <c r="G10" s="14">
        <v>500</v>
      </c>
      <c r="H10" s="10">
        <v>50</v>
      </c>
      <c r="I10" s="17" t="s">
        <v>27</v>
      </c>
    </row>
    <row r="11" spans="1:16" ht="15.75" customHeight="1" x14ac:dyDescent="0.2">
      <c r="A11" s="11" t="s">
        <v>55</v>
      </c>
      <c r="B11" s="24" t="str">
        <f t="shared" si="0"/>
        <v>14-OCT</v>
      </c>
      <c r="C11" s="17" t="str">
        <f t="shared" si="1"/>
        <v>UK</v>
      </c>
      <c r="D11" s="11" t="s">
        <v>56</v>
      </c>
      <c r="E11" s="11" t="s">
        <v>57</v>
      </c>
      <c r="F11" s="20" t="str">
        <f t="shared" si="2"/>
        <v>Hiking Boots Timberland</v>
      </c>
      <c r="G11" s="15">
        <v>130</v>
      </c>
      <c r="H11" s="11">
        <v>10</v>
      </c>
      <c r="I11" s="22" t="s">
        <v>58</v>
      </c>
    </row>
    <row r="12" spans="1:16" ht="15.75" customHeight="1" x14ac:dyDescent="0.2">
      <c r="A12" s="10" t="s">
        <v>59</v>
      </c>
      <c r="B12" s="24" t="str">
        <f t="shared" si="0"/>
        <v>17-JUN</v>
      </c>
      <c r="C12" s="17" t="str">
        <f t="shared" si="1"/>
        <v>IN</v>
      </c>
      <c r="D12" s="10" t="s">
        <v>60</v>
      </c>
      <c r="E12" s="10" t="s">
        <v>61</v>
      </c>
      <c r="F12" s="20" t="str">
        <f t="shared" si="2"/>
        <v>Laptop Hp</v>
      </c>
      <c r="G12" s="14">
        <v>950</v>
      </c>
      <c r="H12" s="10">
        <v>25</v>
      </c>
      <c r="I12" s="17" t="s">
        <v>27</v>
      </c>
    </row>
    <row r="13" spans="1:16" ht="15.75" customHeight="1" x14ac:dyDescent="0.2">
      <c r="A13" s="11" t="s">
        <v>62</v>
      </c>
      <c r="B13" s="24" t="str">
        <f t="shared" si="0"/>
        <v>25-NOV</v>
      </c>
      <c r="C13" s="17" t="str">
        <f t="shared" si="1"/>
        <v>AU</v>
      </c>
      <c r="D13" s="11" t="s">
        <v>29</v>
      </c>
      <c r="E13" s="11" t="s">
        <v>48</v>
      </c>
      <c r="F13" s="20" t="str">
        <f t="shared" si="2"/>
        <v>Sneakers Adidas</v>
      </c>
      <c r="G13" s="15">
        <v>90</v>
      </c>
      <c r="H13" s="11">
        <v>40</v>
      </c>
      <c r="I13" s="22" t="s">
        <v>27</v>
      </c>
    </row>
    <row r="14" spans="1:16" ht="15.75" customHeight="1" x14ac:dyDescent="0.2">
      <c r="A14" s="10" t="s">
        <v>63</v>
      </c>
      <c r="B14" s="24" t="str">
        <f t="shared" si="0"/>
        <v>08-DEC</v>
      </c>
      <c r="C14" s="17" t="str">
        <f t="shared" si="1"/>
        <v>DE</v>
      </c>
      <c r="D14" s="10" t="s">
        <v>33</v>
      </c>
      <c r="E14" s="10" t="s">
        <v>64</v>
      </c>
      <c r="F14" s="20" t="str">
        <f t="shared" si="2"/>
        <v>Coffee Maker Nespresso</v>
      </c>
      <c r="G14" s="14">
        <v>120</v>
      </c>
      <c r="H14" s="10">
        <v>35</v>
      </c>
      <c r="I14" s="17" t="s">
        <v>27</v>
      </c>
    </row>
    <row r="15" spans="1:16" ht="15.75" customHeight="1" x14ac:dyDescent="0.2">
      <c r="A15" s="11" t="s">
        <v>65</v>
      </c>
      <c r="B15" s="24" t="str">
        <f t="shared" si="0"/>
        <v>18-FEB</v>
      </c>
      <c r="C15" s="17" t="str">
        <f t="shared" si="1"/>
        <v>CA</v>
      </c>
      <c r="D15" s="11" t="s">
        <v>66</v>
      </c>
      <c r="E15" s="11" t="s">
        <v>67</v>
      </c>
      <c r="F15" s="20" t="str">
        <f t="shared" si="2"/>
        <v>Smartwatch Fitbit</v>
      </c>
      <c r="G15" s="15">
        <v>150</v>
      </c>
      <c r="H15" s="11">
        <v>15</v>
      </c>
      <c r="I15" s="22" t="s">
        <v>27</v>
      </c>
    </row>
    <row r="16" spans="1:16" ht="15.75" customHeight="1" x14ac:dyDescent="0.2">
      <c r="A16" s="10" t="s">
        <v>68</v>
      </c>
      <c r="B16" s="24" t="str">
        <f t="shared" si="0"/>
        <v>16-APR</v>
      </c>
      <c r="C16" s="17" t="str">
        <f t="shared" si="1"/>
        <v>ES</v>
      </c>
      <c r="D16" s="10" t="s">
        <v>69</v>
      </c>
      <c r="E16" s="10" t="s">
        <v>70</v>
      </c>
      <c r="F16" s="20" t="str">
        <f t="shared" si="2"/>
        <v>Headphones Bose</v>
      </c>
      <c r="G16" s="14">
        <v>250</v>
      </c>
      <c r="H16" s="10">
        <v>20</v>
      </c>
      <c r="I16" s="17" t="s">
        <v>27</v>
      </c>
    </row>
    <row r="17" spans="1:9" ht="15.75" customHeight="1" x14ac:dyDescent="0.2">
      <c r="A17" s="11" t="s">
        <v>71</v>
      </c>
      <c r="B17" s="24" t="str">
        <f t="shared" si="0"/>
        <v>21-AUG</v>
      </c>
      <c r="C17" s="17" t="str">
        <f t="shared" si="1"/>
        <v>CA</v>
      </c>
      <c r="D17" s="11" t="s">
        <v>72</v>
      </c>
      <c r="E17" s="11" t="s">
        <v>73</v>
      </c>
      <c r="F17" s="20" t="str">
        <f t="shared" si="2"/>
        <v>Laptop Bag Samsonite</v>
      </c>
      <c r="G17" s="15">
        <v>50</v>
      </c>
      <c r="H17" s="11">
        <v>35</v>
      </c>
      <c r="I17" s="22" t="s">
        <v>74</v>
      </c>
    </row>
    <row r="18" spans="1:9" ht="15.75" customHeight="1" x14ac:dyDescent="0.2">
      <c r="A18" s="10" t="s">
        <v>75</v>
      </c>
      <c r="B18" s="24" t="str">
        <f t="shared" si="0"/>
        <v>20-AUG</v>
      </c>
      <c r="C18" s="17" t="str">
        <f t="shared" si="1"/>
        <v>CN</v>
      </c>
      <c r="D18" s="10" t="s">
        <v>66</v>
      </c>
      <c r="E18" s="10" t="s">
        <v>76</v>
      </c>
      <c r="F18" s="20" t="str">
        <f t="shared" si="2"/>
        <v>Smartwatch Huawei</v>
      </c>
      <c r="G18" s="14">
        <v>160</v>
      </c>
      <c r="H18" s="10">
        <v>15</v>
      </c>
      <c r="I18" s="17" t="s">
        <v>45</v>
      </c>
    </row>
    <row r="19" spans="1:9" ht="15.75" customHeight="1" x14ac:dyDescent="0.2">
      <c r="A19" s="11" t="s">
        <v>77</v>
      </c>
      <c r="B19" s="24" t="str">
        <f t="shared" si="0"/>
        <v>27-JAN</v>
      </c>
      <c r="C19" s="17" t="str">
        <f t="shared" si="1"/>
        <v>IT</v>
      </c>
      <c r="D19" s="11" t="s">
        <v>25</v>
      </c>
      <c r="E19" s="11" t="s">
        <v>78</v>
      </c>
      <c r="F19" s="20" t="str">
        <f>PROPER(CONCATENATE(D19," ",E19))</f>
        <v>Laptop Asus</v>
      </c>
      <c r="G19" s="15">
        <v>980</v>
      </c>
      <c r="H19" s="11">
        <v>10</v>
      </c>
      <c r="I19" s="22" t="s">
        <v>27</v>
      </c>
    </row>
    <row r="20" spans="1:9" ht="15.75" customHeight="1" x14ac:dyDescent="0.2">
      <c r="A20" s="10" t="s">
        <v>79</v>
      </c>
      <c r="B20" s="24" t="str">
        <f t="shared" si="0"/>
        <v>01-MAR</v>
      </c>
      <c r="C20" s="17" t="str">
        <f t="shared" si="1"/>
        <v>UK</v>
      </c>
      <c r="D20" s="10" t="s">
        <v>80</v>
      </c>
      <c r="E20" s="10" t="s">
        <v>81</v>
      </c>
      <c r="F20" s="20" t="str">
        <f t="shared" si="2"/>
        <v>Sunglasses Oakley</v>
      </c>
      <c r="G20" s="14">
        <v>150</v>
      </c>
      <c r="H20" s="10">
        <v>15</v>
      </c>
      <c r="I20" s="17" t="s">
        <v>31</v>
      </c>
    </row>
    <row r="21" spans="1:9" ht="15.75" customHeight="1" x14ac:dyDescent="0.2">
      <c r="A21" s="11" t="s">
        <v>82</v>
      </c>
      <c r="B21" s="24" t="str">
        <f t="shared" si="0"/>
        <v>14-AUG</v>
      </c>
      <c r="C21" s="17" t="str">
        <f t="shared" si="1"/>
        <v>US</v>
      </c>
      <c r="D21" s="11" t="s">
        <v>83</v>
      </c>
      <c r="E21" s="11" t="s">
        <v>84</v>
      </c>
      <c r="F21" s="20" t="str">
        <f t="shared" si="2"/>
        <v>Camping Tent Coleman</v>
      </c>
      <c r="G21" s="15">
        <v>281</v>
      </c>
      <c r="H21" s="11">
        <v>10</v>
      </c>
      <c r="I21" s="22" t="s">
        <v>58</v>
      </c>
    </row>
    <row r="22" spans="1:9" ht="15.75" customHeight="1" x14ac:dyDescent="0.2">
      <c r="A22" s="10" t="s">
        <v>85</v>
      </c>
      <c r="B22" s="24" t="str">
        <f t="shared" si="0"/>
        <v>14-MAY</v>
      </c>
      <c r="C22" s="17" t="str">
        <f t="shared" si="1"/>
        <v>RU</v>
      </c>
      <c r="D22" s="10" t="s">
        <v>86</v>
      </c>
      <c r="E22" s="10" t="s">
        <v>87</v>
      </c>
      <c r="F22" s="20" t="str">
        <f t="shared" si="2"/>
        <v>Camera Nikon</v>
      </c>
      <c r="G22" s="14">
        <v>700</v>
      </c>
      <c r="H22" s="10">
        <v>50</v>
      </c>
      <c r="I22" s="17" t="s">
        <v>27</v>
      </c>
    </row>
    <row r="23" spans="1:9" ht="15.75" customHeight="1" x14ac:dyDescent="0.2">
      <c r="A23" s="11" t="s">
        <v>88</v>
      </c>
      <c r="B23" s="24" t="str">
        <f t="shared" si="0"/>
        <v>09-JAN</v>
      </c>
      <c r="C23" s="17" t="str">
        <f t="shared" si="1"/>
        <v>CA</v>
      </c>
      <c r="D23" s="11" t="s">
        <v>89</v>
      </c>
      <c r="E23" s="11" t="s">
        <v>90</v>
      </c>
      <c r="F23" s="20" t="str">
        <f t="shared" si="2"/>
        <v>Microwave Panasonic</v>
      </c>
      <c r="G23" s="15">
        <v>80</v>
      </c>
      <c r="H23" s="11">
        <v>20</v>
      </c>
      <c r="I23" s="22" t="s">
        <v>35</v>
      </c>
    </row>
    <row r="24" spans="1:9" ht="15.75" customHeight="1" x14ac:dyDescent="0.2">
      <c r="A24" s="10" t="s">
        <v>91</v>
      </c>
      <c r="B24" s="24" t="str">
        <f t="shared" si="0"/>
        <v>19-JUL</v>
      </c>
      <c r="C24" s="17" t="str">
        <f t="shared" si="1"/>
        <v>BR</v>
      </c>
      <c r="D24" s="10" t="s">
        <v>92</v>
      </c>
      <c r="E24" s="10" t="s">
        <v>93</v>
      </c>
      <c r="F24" s="20" t="str">
        <f t="shared" si="2"/>
        <v>Fitness Tracker Xiaomi</v>
      </c>
      <c r="G24" s="14">
        <v>150</v>
      </c>
      <c r="H24" s="10">
        <v>30</v>
      </c>
      <c r="I24" s="17" t="s">
        <v>27</v>
      </c>
    </row>
    <row r="25" spans="1:9" ht="15.75" customHeight="1" x14ac:dyDescent="0.2">
      <c r="A25" s="10" t="s">
        <v>94</v>
      </c>
      <c r="B25" s="24" t="str">
        <f t="shared" si="0"/>
        <v>29-SEP</v>
      </c>
      <c r="C25" s="17" t="str">
        <f t="shared" si="1"/>
        <v>CA</v>
      </c>
      <c r="D25" s="10" t="s">
        <v>95</v>
      </c>
      <c r="E25" s="10" t="s">
        <v>96</v>
      </c>
      <c r="F25" s="20" t="str">
        <f t="shared" si="2"/>
        <v>Smartphone Google</v>
      </c>
      <c r="G25" s="14">
        <v>800</v>
      </c>
      <c r="H25" s="10">
        <v>45</v>
      </c>
      <c r="I25" s="17" t="s">
        <v>27</v>
      </c>
    </row>
    <row r="26" spans="1:9" ht="15.75" customHeight="1" x14ac:dyDescent="0.2">
      <c r="A26" s="11" t="s">
        <v>97</v>
      </c>
      <c r="B26" s="24" t="str">
        <f t="shared" si="0"/>
        <v>03-JUN</v>
      </c>
      <c r="C26" s="17" t="str">
        <f t="shared" si="1"/>
        <v>CA</v>
      </c>
      <c r="D26" s="11" t="s">
        <v>80</v>
      </c>
      <c r="E26" s="11" t="s">
        <v>98</v>
      </c>
      <c r="F26" s="20" t="str">
        <f t="shared" si="2"/>
        <v>Sunglasses Ray-Ban</v>
      </c>
      <c r="G26" s="15">
        <v>281</v>
      </c>
      <c r="H26" s="11">
        <v>25</v>
      </c>
      <c r="I26" s="22" t="s">
        <v>31</v>
      </c>
    </row>
    <row r="27" spans="1:9" ht="15.75" customHeight="1" x14ac:dyDescent="0.2">
      <c r="A27" s="10" t="s">
        <v>99</v>
      </c>
      <c r="B27" s="24" t="str">
        <f t="shared" si="0"/>
        <v>11-JUL</v>
      </c>
      <c r="C27" s="17" t="str">
        <f t="shared" si="1"/>
        <v>CA</v>
      </c>
      <c r="D27" s="10" t="s">
        <v>50</v>
      </c>
      <c r="E27" s="10" t="s">
        <v>100</v>
      </c>
      <c r="F27" s="20" t="str">
        <f t="shared" si="2"/>
        <v>Blender Vitamix</v>
      </c>
      <c r="G27" s="14">
        <v>400</v>
      </c>
      <c r="H27" s="10">
        <v>40</v>
      </c>
      <c r="I27" s="17" t="s">
        <v>35</v>
      </c>
    </row>
    <row r="28" spans="1:9" ht="15.75" customHeight="1" x14ac:dyDescent="0.2">
      <c r="A28" s="10" t="s">
        <v>101</v>
      </c>
      <c r="B28" s="24" t="str">
        <f t="shared" si="0"/>
        <v>07-MAR</v>
      </c>
      <c r="C28" s="17" t="str">
        <f t="shared" si="1"/>
        <v>CA</v>
      </c>
      <c r="D28" s="10" t="s">
        <v>102</v>
      </c>
      <c r="E28" s="10" t="s">
        <v>103</v>
      </c>
      <c r="F28" s="20" t="str">
        <f t="shared" si="2"/>
        <v>Dress Zara</v>
      </c>
      <c r="G28" s="14">
        <v>60</v>
      </c>
      <c r="H28" s="10">
        <v>30</v>
      </c>
      <c r="I28" s="17" t="s">
        <v>31</v>
      </c>
    </row>
    <row r="29" spans="1:9" ht="15.75" customHeight="1" x14ac:dyDescent="0.2">
      <c r="A29" s="11" t="s">
        <v>104</v>
      </c>
      <c r="B29" s="24" t="str">
        <f t="shared" si="0"/>
        <v>13-APR</v>
      </c>
      <c r="C29" s="17" t="str">
        <f t="shared" si="1"/>
        <v>CA</v>
      </c>
      <c r="D29" s="11" t="s">
        <v>105</v>
      </c>
      <c r="E29" s="11" t="s">
        <v>106</v>
      </c>
      <c r="F29" s="20" t="str">
        <f t="shared" si="2"/>
        <v>Toaster Hamilton</v>
      </c>
      <c r="G29" s="15">
        <v>40</v>
      </c>
      <c r="H29" s="11">
        <v>10</v>
      </c>
      <c r="I29" s="22" t="s">
        <v>35</v>
      </c>
    </row>
    <row r="30" spans="1:9" ht="15.75" customHeight="1" x14ac:dyDescent="0.2">
      <c r="A30" s="10" t="s">
        <v>107</v>
      </c>
      <c r="B30" s="24" t="str">
        <f t="shared" si="0"/>
        <v>24-MAY</v>
      </c>
      <c r="C30" s="17" t="str">
        <f t="shared" si="1"/>
        <v>CA</v>
      </c>
      <c r="D30" s="10" t="s">
        <v>92</v>
      </c>
      <c r="E30" s="10" t="s">
        <v>108</v>
      </c>
      <c r="F30" s="20" t="str">
        <f t="shared" si="2"/>
        <v>Fitness Tracker Garmin</v>
      </c>
      <c r="G30" s="14">
        <v>130</v>
      </c>
      <c r="H30" s="10">
        <v>5</v>
      </c>
      <c r="I30" s="17" t="s">
        <v>27</v>
      </c>
    </row>
    <row r="31" spans="1:9" ht="15.75" customHeight="1" x14ac:dyDescent="0.2">
      <c r="A31" s="11" t="s">
        <v>109</v>
      </c>
      <c r="B31" s="24" t="str">
        <f t="shared" si="0"/>
        <v>02-DEC</v>
      </c>
      <c r="C31" s="17" t="str">
        <f t="shared" si="1"/>
        <v>CA</v>
      </c>
      <c r="D31" s="11" t="s">
        <v>110</v>
      </c>
      <c r="E31" s="11" t="s">
        <v>111</v>
      </c>
      <c r="F31" s="20" t="str">
        <f t="shared" si="2"/>
        <v>Jeans Levi'S</v>
      </c>
      <c r="G31" s="15">
        <v>50</v>
      </c>
      <c r="H31" s="11">
        <v>50</v>
      </c>
      <c r="I31" s="22" t="s">
        <v>31</v>
      </c>
    </row>
    <row r="32" spans="1:9" ht="15.75" customHeight="1" x14ac:dyDescent="0.2">
      <c r="A32" s="11" t="s">
        <v>112</v>
      </c>
      <c r="B32" s="24" t="str">
        <f t="shared" si="0"/>
        <v>09-JUL</v>
      </c>
      <c r="C32" s="17" t="str">
        <f t="shared" si="1"/>
        <v>FR</v>
      </c>
      <c r="D32" s="11" t="s">
        <v>113</v>
      </c>
      <c r="E32" s="11" t="s">
        <v>114</v>
      </c>
      <c r="F32" s="20" t="str">
        <f t="shared" si="2"/>
        <v>Watch Casio</v>
      </c>
      <c r="G32" s="15">
        <v>100</v>
      </c>
      <c r="H32" s="11">
        <v>20</v>
      </c>
      <c r="I32" s="22" t="s">
        <v>74</v>
      </c>
    </row>
    <row r="33" spans="2:3" ht="15.75" customHeight="1" x14ac:dyDescent="0.2">
      <c r="B33" s="25"/>
      <c r="C33" s="18"/>
    </row>
    <row r="34" spans="2:3" ht="15.75" customHeight="1" x14ac:dyDescent="0.2">
      <c r="B34" s="25"/>
      <c r="C34" s="18"/>
    </row>
    <row r="35" spans="2:3" ht="15.75" customHeight="1" x14ac:dyDescent="0.2">
      <c r="B35" s="25"/>
      <c r="C35" s="18"/>
    </row>
    <row r="36" spans="2:3" ht="15.75" customHeight="1" x14ac:dyDescent="0.2"/>
    <row r="37" spans="2:3" ht="15.75" customHeight="1" x14ac:dyDescent="0.2"/>
    <row r="38" spans="2:3" ht="15.75" customHeight="1" x14ac:dyDescent="0.2"/>
    <row r="39" spans="2:3" ht="15.75" customHeight="1" x14ac:dyDescent="0.2"/>
    <row r="40" spans="2:3" ht="15.75" customHeight="1" x14ac:dyDescent="0.2"/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1:I1048576">
    <cfRule type="containsText" dxfId="2" priority="2" operator="containsText" text="Electronics">
      <formula>NOT(ISERROR(SEARCH("Electronics",I1)))</formula>
    </cfRule>
    <cfRule type="containsText" dxfId="1" priority="3" operator="containsText" text="Gategory">
      <formula>NOT(ISERROR(SEARCH("Gategory",I1)))</formula>
    </cfRule>
    <cfRule type="containsText" dxfId="0" priority="4" operator="containsText" text="Electronics">
      <formula>NOT(ISERROR(SEARCH("Electronics",I1)))</formula>
    </cfRule>
  </conditionalFormatting>
  <conditionalFormatting sqref="G1:G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{C6698284-D368-44A5-B774-2B7A0D0FFD81}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698284-D368-44A5-B774-2B7A0D0FF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F96E-8AC6-40F3-B16B-C4971FC9ED3F}">
  <dimension ref="A1:L20"/>
  <sheetViews>
    <sheetView workbookViewId="0">
      <selection activeCell="B7" sqref="B7"/>
    </sheetView>
  </sheetViews>
  <sheetFormatPr defaultRowHeight="12.75" x14ac:dyDescent="0.2"/>
  <cols>
    <col min="1" max="1" width="36.85546875" customWidth="1"/>
    <col min="2" max="2" width="147.7109375" customWidth="1"/>
  </cols>
  <sheetData>
    <row r="1" spans="1:12" ht="15.75" x14ac:dyDescent="0.25">
      <c r="A1" s="33" t="s">
        <v>119</v>
      </c>
      <c r="B1" s="34" t="s">
        <v>120</v>
      </c>
      <c r="C1" s="29"/>
      <c r="D1" s="29"/>
      <c r="E1" s="29"/>
      <c r="F1" s="29"/>
      <c r="G1" s="29"/>
      <c r="H1" s="29"/>
      <c r="I1" s="29"/>
      <c r="J1" s="28"/>
      <c r="K1" s="28"/>
      <c r="L1" s="28"/>
    </row>
    <row r="2" spans="1:12" ht="15.75" x14ac:dyDescent="0.25">
      <c r="A2" s="30" t="s">
        <v>121</v>
      </c>
      <c r="B2" s="31" t="s">
        <v>138</v>
      </c>
      <c r="C2" s="31"/>
      <c r="D2" s="31"/>
      <c r="E2" s="31"/>
      <c r="F2" s="32"/>
      <c r="G2" s="32"/>
      <c r="H2" s="32"/>
      <c r="I2" s="32"/>
      <c r="J2" s="28"/>
      <c r="K2" s="28"/>
      <c r="L2" s="28"/>
    </row>
    <row r="3" spans="1:12" ht="15.75" x14ac:dyDescent="0.25">
      <c r="A3" s="30"/>
      <c r="B3" s="31"/>
      <c r="C3" s="31"/>
      <c r="D3" s="31"/>
      <c r="E3" s="31"/>
      <c r="F3" s="32"/>
      <c r="G3" s="32"/>
      <c r="H3" s="32"/>
      <c r="I3" s="32"/>
      <c r="J3" s="28"/>
      <c r="K3" s="28"/>
      <c r="L3" s="28"/>
    </row>
    <row r="4" spans="1:12" ht="15.75" x14ac:dyDescent="0.25">
      <c r="A4" s="30" t="s">
        <v>122</v>
      </c>
      <c r="B4" s="31" t="s">
        <v>123</v>
      </c>
      <c r="C4" s="31"/>
      <c r="D4" s="31"/>
      <c r="E4" s="31"/>
      <c r="F4" s="32"/>
      <c r="G4" s="32"/>
      <c r="H4" s="32"/>
      <c r="I4" s="32"/>
      <c r="J4" s="28"/>
      <c r="K4" s="28"/>
      <c r="L4" s="28"/>
    </row>
    <row r="5" spans="1:12" ht="15.75" x14ac:dyDescent="0.25">
      <c r="A5" s="30"/>
      <c r="B5" s="31" t="s">
        <v>124</v>
      </c>
      <c r="C5" s="31"/>
      <c r="D5" s="31"/>
      <c r="E5" s="31"/>
      <c r="F5" s="32"/>
      <c r="G5" s="32"/>
      <c r="H5" s="32"/>
      <c r="I5" s="32"/>
      <c r="J5" s="28"/>
      <c r="K5" s="28"/>
      <c r="L5" s="28"/>
    </row>
    <row r="6" spans="1:12" ht="15.75" x14ac:dyDescent="0.25">
      <c r="A6" s="30"/>
      <c r="B6" s="31" t="s">
        <v>125</v>
      </c>
      <c r="C6" s="31"/>
      <c r="D6" s="31"/>
      <c r="E6" s="31"/>
      <c r="F6" s="32"/>
      <c r="G6" s="32"/>
      <c r="H6" s="32"/>
      <c r="I6" s="32"/>
      <c r="J6" s="28"/>
      <c r="K6" s="28"/>
      <c r="L6" s="28"/>
    </row>
    <row r="7" spans="1:12" ht="15.75" x14ac:dyDescent="0.25">
      <c r="A7" s="30"/>
      <c r="B7" s="31"/>
      <c r="C7" s="31"/>
      <c r="D7" s="31"/>
      <c r="E7" s="31"/>
      <c r="F7" s="32"/>
      <c r="G7" s="32"/>
      <c r="H7" s="32"/>
      <c r="I7" s="32"/>
      <c r="J7" s="28"/>
      <c r="K7" s="28"/>
      <c r="L7" s="28"/>
    </row>
    <row r="8" spans="1:12" ht="15.75" x14ac:dyDescent="0.25">
      <c r="A8" s="30" t="s">
        <v>126</v>
      </c>
      <c r="B8" s="31" t="s">
        <v>127</v>
      </c>
      <c r="C8" s="31"/>
      <c r="D8" s="31"/>
      <c r="E8" s="31"/>
      <c r="F8" s="32"/>
      <c r="G8" s="32"/>
      <c r="H8" s="32"/>
      <c r="I8" s="32"/>
      <c r="J8" s="28"/>
      <c r="K8" s="28"/>
      <c r="L8" s="28"/>
    </row>
    <row r="9" spans="1:12" ht="15.75" x14ac:dyDescent="0.25">
      <c r="A9" s="30"/>
      <c r="B9" s="31" t="s">
        <v>128</v>
      </c>
      <c r="C9" s="31"/>
      <c r="D9" s="31"/>
      <c r="E9" s="31"/>
      <c r="F9" s="32"/>
      <c r="G9" s="32"/>
      <c r="H9" s="32"/>
      <c r="I9" s="32"/>
      <c r="J9" s="28"/>
      <c r="K9" s="28"/>
      <c r="L9" s="28"/>
    </row>
    <row r="10" spans="1:12" ht="15.75" x14ac:dyDescent="0.25">
      <c r="A10" s="30"/>
      <c r="B10" s="31"/>
      <c r="C10" s="31"/>
      <c r="D10" s="31"/>
      <c r="E10" s="31"/>
      <c r="F10" s="32"/>
      <c r="G10" s="32"/>
      <c r="H10" s="32"/>
      <c r="I10" s="32"/>
      <c r="J10" s="28"/>
      <c r="K10" s="28"/>
      <c r="L10" s="28"/>
    </row>
    <row r="11" spans="1:12" ht="15.75" x14ac:dyDescent="0.25">
      <c r="A11" s="30" t="s">
        <v>129</v>
      </c>
      <c r="B11" s="31" t="s">
        <v>130</v>
      </c>
      <c r="C11" s="31"/>
      <c r="D11" s="31"/>
      <c r="E11" s="31"/>
      <c r="F11" s="32"/>
      <c r="G11" s="32"/>
      <c r="H11" s="32"/>
      <c r="I11" s="32"/>
      <c r="J11" s="28"/>
      <c r="K11" s="28"/>
      <c r="L11" s="28"/>
    </row>
    <row r="12" spans="1:12" ht="15.75" x14ac:dyDescent="0.25">
      <c r="A12" s="30"/>
      <c r="B12" s="31" t="s">
        <v>131</v>
      </c>
      <c r="C12" s="31"/>
      <c r="D12" s="31"/>
      <c r="E12" s="31"/>
      <c r="F12" s="32"/>
      <c r="G12" s="32"/>
      <c r="H12" s="32"/>
      <c r="I12" s="32"/>
      <c r="J12" s="28"/>
      <c r="K12" s="28"/>
      <c r="L12" s="28"/>
    </row>
    <row r="13" spans="1:12" ht="15.75" x14ac:dyDescent="0.25">
      <c r="A13" s="30"/>
      <c r="B13" s="31"/>
      <c r="C13" s="31"/>
      <c r="D13" s="31"/>
      <c r="E13" s="31"/>
      <c r="F13" s="32"/>
      <c r="G13" s="32"/>
      <c r="H13" s="32"/>
      <c r="I13" s="32"/>
      <c r="J13" s="28"/>
      <c r="K13" s="28"/>
      <c r="L13" s="28"/>
    </row>
    <row r="14" spans="1:12" ht="15.75" x14ac:dyDescent="0.25">
      <c r="A14" s="30" t="s">
        <v>134</v>
      </c>
      <c r="B14" s="31" t="s">
        <v>132</v>
      </c>
      <c r="C14" s="31"/>
      <c r="D14" s="31"/>
      <c r="E14" s="31"/>
      <c r="F14" s="32"/>
      <c r="G14" s="32"/>
      <c r="H14" s="32"/>
      <c r="I14" s="32"/>
      <c r="J14" s="28"/>
      <c r="K14" s="28"/>
      <c r="L14" s="28"/>
    </row>
    <row r="15" spans="1:12" ht="15.75" x14ac:dyDescent="0.25">
      <c r="A15" s="30"/>
      <c r="B15" s="31" t="s">
        <v>133</v>
      </c>
      <c r="C15" s="31"/>
      <c r="D15" s="31"/>
      <c r="E15" s="31"/>
      <c r="F15" s="32"/>
      <c r="G15" s="32"/>
      <c r="H15" s="32"/>
      <c r="I15" s="32"/>
      <c r="J15" s="28"/>
      <c r="K15" s="28"/>
      <c r="L15" s="28"/>
    </row>
    <row r="16" spans="1:12" ht="15.75" x14ac:dyDescent="0.25">
      <c r="A16" s="30"/>
      <c r="B16" s="31"/>
      <c r="C16" s="31"/>
      <c r="D16" s="31"/>
      <c r="E16" s="31"/>
      <c r="F16" s="32"/>
      <c r="G16" s="32"/>
      <c r="H16" s="32"/>
      <c r="I16" s="32"/>
      <c r="J16" s="28"/>
      <c r="K16" s="28"/>
      <c r="L16" s="28"/>
    </row>
    <row r="17" spans="1:12" ht="15.75" x14ac:dyDescent="0.25">
      <c r="A17" s="30" t="s">
        <v>137</v>
      </c>
      <c r="B17" s="31" t="s">
        <v>135</v>
      </c>
      <c r="C17" s="31"/>
      <c r="D17" s="31"/>
      <c r="E17" s="31"/>
      <c r="F17" s="32"/>
      <c r="G17" s="32"/>
      <c r="H17" s="32"/>
      <c r="I17" s="32"/>
      <c r="J17" s="28"/>
      <c r="K17" s="28"/>
      <c r="L17" s="28"/>
    </row>
    <row r="18" spans="1:12" ht="15.75" x14ac:dyDescent="0.25">
      <c r="A18" s="30"/>
      <c r="B18" s="31" t="s">
        <v>136</v>
      </c>
      <c r="C18" s="31"/>
      <c r="D18" s="31"/>
      <c r="E18" s="31"/>
      <c r="F18" s="32"/>
      <c r="G18" s="32"/>
      <c r="H18" s="32"/>
      <c r="I18" s="32"/>
      <c r="J18" s="28"/>
      <c r="K18" s="28"/>
      <c r="L18" s="28"/>
    </row>
    <row r="20" spans="1:12" x14ac:dyDescent="0.2">
      <c r="B20" s="27"/>
    </row>
  </sheetData>
  <conditionalFormatting sqref="A1:I18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2026-01-08T06:56:00Z</dcterms:created>
  <dcterms:modified xsi:type="dcterms:W3CDTF">2026-01-08T07:21:28Z</dcterms:modified>
</cp:coreProperties>
</file>